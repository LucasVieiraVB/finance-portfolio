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556DF858-5EEF-4FD8-9110-83D49AEB6985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Janeiro" sheetId="4" r:id="rId1"/>
    <sheet name="Fevereiro" sheetId="3" r:id="rId2"/>
    <sheet name="Março" sheetId="2" r:id="rId3"/>
    <sheet name="Abril" sheetId="1" r:id="rId4"/>
    <sheet name="Resum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C6" i="5"/>
  <c r="B6" i="5"/>
  <c r="C5" i="5"/>
  <c r="D4" i="5"/>
  <c r="C4" i="5"/>
  <c r="B4" i="5"/>
  <c r="D3" i="5"/>
  <c r="C3" i="5"/>
  <c r="B3" i="5"/>
  <c r="D2" i="5"/>
  <c r="C2" i="5"/>
  <c r="B2" i="5"/>
  <c r="B21" i="4"/>
  <c r="B13" i="4"/>
  <c r="B4" i="4"/>
  <c r="B15" i="4" s="1"/>
  <c r="B23" i="4" s="1"/>
  <c r="B21" i="3"/>
  <c r="B13" i="3"/>
  <c r="B4" i="3"/>
  <c r="B15" i="3" s="1"/>
  <c r="B23" i="3" s="1"/>
  <c r="B21" i="2"/>
  <c r="B13" i="2"/>
  <c r="B4" i="2"/>
  <c r="B15" i="2" s="1"/>
  <c r="B23" i="2" s="1"/>
  <c r="B21" i="1"/>
  <c r="B13" i="1"/>
  <c r="B4" i="1"/>
  <c r="B5" i="5" s="1"/>
  <c r="B15" i="1" l="1"/>
  <c r="B23" i="1"/>
  <c r="D5" i="5" s="1"/>
</calcChain>
</file>

<file path=xl/sharedStrings.xml><?xml version="1.0" encoding="utf-8"?>
<sst xmlns="http://schemas.openxmlformats.org/spreadsheetml/2006/main" count="85" uniqueCount="27">
  <si>
    <t>Receitas</t>
  </si>
  <si>
    <t>Salário</t>
  </si>
  <si>
    <t>Comissão</t>
  </si>
  <si>
    <t>Total Receitas</t>
  </si>
  <si>
    <t>Contas Fixas</t>
  </si>
  <si>
    <t>Aluguel</t>
  </si>
  <si>
    <t>Luz</t>
  </si>
  <si>
    <t>Internet</t>
  </si>
  <si>
    <t>4g</t>
  </si>
  <si>
    <t>Faculdade</t>
  </si>
  <si>
    <t>Alimentação</t>
  </si>
  <si>
    <t>Total Fixo</t>
  </si>
  <si>
    <t>Saldo após fixas</t>
  </si>
  <si>
    <t xml:space="preserve">Gastos Variáveis </t>
  </si>
  <si>
    <t>Crédito</t>
  </si>
  <si>
    <t>Lazer</t>
  </si>
  <si>
    <t>Investimentos</t>
  </si>
  <si>
    <t>Total Variável</t>
  </si>
  <si>
    <t>Saldo Final</t>
  </si>
  <si>
    <t>Mês</t>
  </si>
  <si>
    <t>Receita</t>
  </si>
  <si>
    <t>Total Gasto</t>
  </si>
  <si>
    <t>Janeiro</t>
  </si>
  <si>
    <t>Fevereiro</t>
  </si>
  <si>
    <t>Março</t>
  </si>
  <si>
    <t>Abril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</si>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</sst>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Saldo Mensal</a:t>
            </a:r>
          </a:p>
        </c:rich>
      </c:tx>
      <c:layout>
        <c:manualLayout>
          <c:xMode val="edge"/>
          <c:yMode val="edge"/>
          <c:x val="0.20009593905403206"/>
          <c:y val="6.776869592587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Resumo!$D$1</c:f>
              <c:strCache>
                <c:ptCount val="1"/>
                <c:pt idx="0">
                  <c:v>Saldo Final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Resumo!$A$2:$A$5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Resumo!$D$2:$D$5</c:f>
              <c:numCache>
                <c:formatCode>0.00</c:formatCode>
                <c:ptCount val="4"/>
                <c:pt idx="0">
                  <c:v>86.589999999999691</c:v>
                </c:pt>
                <c:pt idx="1">
                  <c:v>164.89999999999975</c:v>
                </c:pt>
                <c:pt idx="2">
                  <c:v>16.799999999999727</c:v>
                </c:pt>
                <c:pt idx="3">
                  <c:v>376.48999999999972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E-4850-8A8E-CB93A3A08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764424"/>
        <c:axId val="1696766472"/>
      </c:lineChart>
      <c:catAx>
        <c:axId val="169676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66472"/>
        <c:crosses val="autoZero"/>
        <c:auto val="1"/>
        <c:lblAlgn val="ctr"/>
        <c:lblOffset val="100"/>
        <c:noMultiLvlLbl val="0"/>
      </c:catAx>
      <c:valAx>
        <c:axId val="169676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6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28575</xdr:rowOff>
    </xdr:from>
    <xdr:to>
      <xdr:col>6</xdr:col>
      <xdr:colOff>142875</xdr:colOff>
      <xdr:row>16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CCB058-F221-3F05-C9F7-40F4E30D2C29}"/>
            </a:ext>
            <a:ext uri="{147F2762-F138-4A5C-976F-8EAC2B608ADB}">
              <a16:predDERef xmlns:a16="http://schemas.microsoft.com/office/drawing/2014/main" pred="{E7B6EC99-5813-473F-1302-514CBFCE8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B049-ABA8-4D0A-9EE9-8EBC1926A153}">
  <dimension ref="A1:B23"/>
  <sheetViews>
    <sheetView workbookViewId="0">
      <selection activeCell="B15" sqref="B15"/>
    </sheetView>
  </sheetViews>
  <sheetFormatPr defaultRowHeight="15"/>
  <sheetData>
    <row r="1" spans="1:2">
      <c r="A1" t="s">
        <v>0</v>
      </c>
    </row>
    <row r="2" spans="1:2">
      <c r="A2" t="s">
        <v>1</v>
      </c>
      <c r="B2">
        <v>1840</v>
      </c>
    </row>
    <row r="3" spans="1:2">
      <c r="A3" t="s">
        <v>2</v>
      </c>
      <c r="B3">
        <v>500</v>
      </c>
    </row>
    <row r="4" spans="1:2">
      <c r="A4" t="s">
        <v>3</v>
      </c>
      <c r="B4">
        <f>SUM(B2:B3)</f>
        <v>2340</v>
      </c>
    </row>
    <row r="6" spans="1:2">
      <c r="A6" t="s">
        <v>4</v>
      </c>
    </row>
    <row r="7" spans="1:2">
      <c r="A7" t="s">
        <v>5</v>
      </c>
      <c r="B7">
        <v>880</v>
      </c>
    </row>
    <row r="8" spans="1:2">
      <c r="A8" t="s">
        <v>6</v>
      </c>
      <c r="B8">
        <v>90</v>
      </c>
    </row>
    <row r="9" spans="1:2">
      <c r="A9" t="s">
        <v>7</v>
      </c>
      <c r="B9" s="1">
        <v>59.9</v>
      </c>
    </row>
    <row r="10" spans="1:2">
      <c r="A10" t="s">
        <v>8</v>
      </c>
      <c r="B10" s="1">
        <v>81.900000000000006</v>
      </c>
    </row>
    <row r="11" spans="1:2">
      <c r="A11" t="s">
        <v>9</v>
      </c>
      <c r="B11" s="1">
        <v>157.9</v>
      </c>
    </row>
    <row r="12" spans="1:2">
      <c r="A12" t="s">
        <v>10</v>
      </c>
      <c r="B12">
        <v>500</v>
      </c>
    </row>
    <row r="13" spans="1:2">
      <c r="A13" t="s">
        <v>11</v>
      </c>
      <c r="B13" s="1">
        <f>SUM(B7:B12)</f>
        <v>1769.7000000000003</v>
      </c>
    </row>
    <row r="15" spans="1:2">
      <c r="A15" t="s">
        <v>12</v>
      </c>
      <c r="B15" s="1">
        <f>B4-B13</f>
        <v>570.29999999999973</v>
      </c>
    </row>
    <row r="17" spans="1:2">
      <c r="A17" t="s">
        <v>13</v>
      </c>
    </row>
    <row r="18" spans="1:2">
      <c r="A18" t="s">
        <v>14</v>
      </c>
      <c r="B18">
        <v>200.71</v>
      </c>
    </row>
    <row r="19" spans="1:2">
      <c r="A19" t="s">
        <v>15</v>
      </c>
      <c r="B19">
        <v>100</v>
      </c>
    </row>
    <row r="20" spans="1:2">
      <c r="A20" t="s">
        <v>16</v>
      </c>
      <c r="B20">
        <v>183</v>
      </c>
    </row>
    <row r="21" spans="1:2">
      <c r="A21" t="s">
        <v>17</v>
      </c>
      <c r="B21">
        <f>SUM(B18:B20)</f>
        <v>483.71000000000004</v>
      </c>
    </row>
    <row r="23" spans="1:2">
      <c r="A23" t="s">
        <v>18</v>
      </c>
      <c r="B23" s="1">
        <f>B15-B21</f>
        <v>86.589999999999691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DFE2-3568-445C-9802-2D94A905C24A}">
  <dimension ref="A1:B23"/>
  <sheetViews>
    <sheetView topLeftCell="A6" workbookViewId="0">
      <selection activeCell="C14" sqref="C14"/>
    </sheetView>
  </sheetViews>
  <sheetFormatPr defaultRowHeight="15"/>
  <sheetData>
    <row r="1" spans="1:2">
      <c r="A1" t="s">
        <v>0</v>
      </c>
    </row>
    <row r="2" spans="1:2">
      <c r="A2" t="s">
        <v>1</v>
      </c>
      <c r="B2">
        <v>2311</v>
      </c>
    </row>
    <row r="3" spans="1:2">
      <c r="A3" t="s">
        <v>2</v>
      </c>
      <c r="B3">
        <v>500</v>
      </c>
    </row>
    <row r="4" spans="1:2">
      <c r="A4" t="s">
        <v>3</v>
      </c>
      <c r="B4">
        <f>SUM(B2:B3)</f>
        <v>2811</v>
      </c>
    </row>
    <row r="6" spans="1:2">
      <c r="A6" t="s">
        <v>4</v>
      </c>
    </row>
    <row r="7" spans="1:2">
      <c r="A7" t="s">
        <v>5</v>
      </c>
      <c r="B7">
        <v>880</v>
      </c>
    </row>
    <row r="8" spans="1:2">
      <c r="A8" t="s">
        <v>6</v>
      </c>
      <c r="B8">
        <v>90</v>
      </c>
    </row>
    <row r="9" spans="1:2">
      <c r="A9" t="s">
        <v>7</v>
      </c>
      <c r="B9" s="1">
        <v>59.9</v>
      </c>
    </row>
    <row r="10" spans="1:2">
      <c r="A10" t="s">
        <v>8</v>
      </c>
      <c r="B10" s="1">
        <v>81.900000000000006</v>
      </c>
    </row>
    <row r="11" spans="1:2">
      <c r="A11" t="s">
        <v>9</v>
      </c>
      <c r="B11" s="1">
        <v>157.9</v>
      </c>
    </row>
    <row r="12" spans="1:2">
      <c r="A12" t="s">
        <v>10</v>
      </c>
      <c r="B12">
        <v>500</v>
      </c>
    </row>
    <row r="13" spans="1:2">
      <c r="A13" t="s">
        <v>11</v>
      </c>
      <c r="B13" s="1">
        <f>SUM(B7:B12)</f>
        <v>1769.7000000000003</v>
      </c>
    </row>
    <row r="15" spans="1:2">
      <c r="A15" t="s">
        <v>12</v>
      </c>
      <c r="B15" s="1">
        <f>B4-B13</f>
        <v>1041.2999999999997</v>
      </c>
    </row>
    <row r="17" spans="1:2">
      <c r="A17" t="s">
        <v>13</v>
      </c>
    </row>
    <row r="18" spans="1:2">
      <c r="A18" t="s">
        <v>14</v>
      </c>
      <c r="B18">
        <v>369.75</v>
      </c>
    </row>
    <row r="19" spans="1:2">
      <c r="A19" t="s">
        <v>15</v>
      </c>
      <c r="B19">
        <v>300</v>
      </c>
    </row>
    <row r="20" spans="1:2">
      <c r="A20" t="s">
        <v>16</v>
      </c>
      <c r="B20">
        <v>206.65</v>
      </c>
    </row>
    <row r="21" spans="1:2">
      <c r="A21" t="s">
        <v>17</v>
      </c>
      <c r="B21">
        <f>SUM(B18:B20)</f>
        <v>876.4</v>
      </c>
    </row>
    <row r="23" spans="1:2">
      <c r="A23" t="s">
        <v>18</v>
      </c>
      <c r="B23" s="1">
        <f>B15-B21</f>
        <v>164.89999999999975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173D-5DAD-4D9A-ABE7-6BE8E91496DB}">
  <dimension ref="A1:B23"/>
  <sheetViews>
    <sheetView topLeftCell="A16" workbookViewId="0">
      <selection activeCell="B20" sqref="B20"/>
    </sheetView>
  </sheetViews>
  <sheetFormatPr defaultRowHeight="15"/>
  <sheetData>
    <row r="1" spans="1:2">
      <c r="A1" t="s">
        <v>0</v>
      </c>
    </row>
    <row r="2" spans="1:2">
      <c r="A2" t="s">
        <v>1</v>
      </c>
      <c r="B2">
        <v>1840</v>
      </c>
    </row>
    <row r="3" spans="1:2">
      <c r="A3" t="s">
        <v>2</v>
      </c>
      <c r="B3">
        <v>500</v>
      </c>
    </row>
    <row r="4" spans="1:2">
      <c r="A4" t="s">
        <v>3</v>
      </c>
      <c r="B4">
        <f>SUM(B2:B3)</f>
        <v>2340</v>
      </c>
    </row>
    <row r="6" spans="1:2">
      <c r="A6" t="s">
        <v>4</v>
      </c>
    </row>
    <row r="7" spans="1:2">
      <c r="A7" t="s">
        <v>5</v>
      </c>
      <c r="B7">
        <v>880</v>
      </c>
    </row>
    <row r="8" spans="1:2">
      <c r="A8" t="s">
        <v>6</v>
      </c>
      <c r="B8">
        <v>90</v>
      </c>
    </row>
    <row r="9" spans="1:2">
      <c r="A9" t="s">
        <v>7</v>
      </c>
      <c r="B9" s="1">
        <v>59.9</v>
      </c>
    </row>
    <row r="10" spans="1:2">
      <c r="A10" t="s">
        <v>8</v>
      </c>
      <c r="B10" s="1">
        <v>81.900000000000006</v>
      </c>
    </row>
    <row r="11" spans="1:2">
      <c r="A11" t="s">
        <v>9</v>
      </c>
      <c r="B11" s="1">
        <v>157.9</v>
      </c>
    </row>
    <row r="12" spans="1:2">
      <c r="A12" t="s">
        <v>10</v>
      </c>
      <c r="B12">
        <v>500</v>
      </c>
    </row>
    <row r="13" spans="1:2">
      <c r="A13" t="s">
        <v>11</v>
      </c>
      <c r="B13" s="1">
        <f>SUM(B7:B12)</f>
        <v>1769.7000000000003</v>
      </c>
    </row>
    <row r="15" spans="1:2">
      <c r="A15" t="s">
        <v>12</v>
      </c>
      <c r="B15" s="1">
        <f>B4-B13</f>
        <v>570.29999999999973</v>
      </c>
    </row>
    <row r="17" spans="1:2">
      <c r="A17" t="s">
        <v>13</v>
      </c>
    </row>
    <row r="18" spans="1:2">
      <c r="A18" t="s">
        <v>14</v>
      </c>
      <c r="B18">
        <v>203.5</v>
      </c>
    </row>
    <row r="19" spans="1:2">
      <c r="A19" t="s">
        <v>15</v>
      </c>
      <c r="B19">
        <v>250</v>
      </c>
    </row>
    <row r="20" spans="1:2">
      <c r="A20" t="s">
        <v>16</v>
      </c>
      <c r="B20">
        <v>100</v>
      </c>
    </row>
    <row r="21" spans="1:2">
      <c r="A21" t="s">
        <v>17</v>
      </c>
      <c r="B21">
        <f>SUM(B18:B20)</f>
        <v>553.5</v>
      </c>
    </row>
    <row r="23" spans="1:2">
      <c r="A23" t="s">
        <v>18</v>
      </c>
      <c r="B23" s="1">
        <f>B15-B21</f>
        <v>16.799999999999727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3" sqref="B3"/>
    </sheetView>
  </sheetViews>
  <sheetFormatPr defaultRowHeight="15"/>
  <sheetData>
    <row r="1" spans="1:2">
      <c r="A1" t="s">
        <v>0</v>
      </c>
    </row>
    <row r="2" spans="1:2">
      <c r="A2" t="s">
        <v>1</v>
      </c>
      <c r="B2">
        <v>1960</v>
      </c>
    </row>
    <row r="3" spans="1:2">
      <c r="A3" t="s">
        <v>2</v>
      </c>
      <c r="B3">
        <v>500</v>
      </c>
    </row>
    <row r="4" spans="1:2">
      <c r="A4" t="s">
        <v>3</v>
      </c>
      <c r="B4">
        <f>SUM(B2:B3)</f>
        <v>2460</v>
      </c>
    </row>
    <row r="6" spans="1:2">
      <c r="A6" t="s">
        <v>4</v>
      </c>
    </row>
    <row r="7" spans="1:2">
      <c r="A7" t="s">
        <v>5</v>
      </c>
      <c r="B7">
        <v>880</v>
      </c>
    </row>
    <row r="8" spans="1:2">
      <c r="A8" t="s">
        <v>6</v>
      </c>
      <c r="B8">
        <v>90</v>
      </c>
    </row>
    <row r="9" spans="1:2">
      <c r="A9" t="s">
        <v>7</v>
      </c>
      <c r="B9" s="1">
        <v>59.9</v>
      </c>
    </row>
    <row r="10" spans="1:2">
      <c r="A10" t="s">
        <v>8</v>
      </c>
      <c r="B10" s="1">
        <v>81.900000000000006</v>
      </c>
    </row>
    <row r="11" spans="1:2">
      <c r="A11" t="s">
        <v>9</v>
      </c>
      <c r="B11" s="1">
        <v>157.9</v>
      </c>
    </row>
    <row r="12" spans="1:2">
      <c r="A12" t="s">
        <v>10</v>
      </c>
      <c r="B12">
        <v>500</v>
      </c>
    </row>
    <row r="13" spans="1:2">
      <c r="A13" t="s">
        <v>11</v>
      </c>
      <c r="B13" s="1">
        <f>SUM(B7:B12)</f>
        <v>1769.7000000000003</v>
      </c>
    </row>
    <row r="15" spans="1:2">
      <c r="A15" t="s">
        <v>12</v>
      </c>
      <c r="B15" s="1">
        <f>B4-B13</f>
        <v>690.29999999999973</v>
      </c>
    </row>
    <row r="17" spans="1:2">
      <c r="A17" t="s">
        <v>13</v>
      </c>
    </row>
    <row r="18" spans="1:2">
      <c r="A18" t="s">
        <v>14</v>
      </c>
      <c r="B18">
        <v>213.81</v>
      </c>
    </row>
    <row r="19" spans="1:2">
      <c r="A19" t="s">
        <v>15</v>
      </c>
      <c r="B19">
        <v>100</v>
      </c>
    </row>
    <row r="20" spans="1:2">
      <c r="A20" t="s">
        <v>16</v>
      </c>
    </row>
    <row r="21" spans="1:2">
      <c r="A21" t="s">
        <v>17</v>
      </c>
      <c r="B21">
        <f>SUM(B18:B20)</f>
        <v>313.81</v>
      </c>
    </row>
    <row r="23" spans="1:2">
      <c r="A23" t="s">
        <v>18</v>
      </c>
      <c r="B23" s="1">
        <f>B15-B21</f>
        <v>376.48999999999972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CFEB-E058-4EC4-B165-42C2E55FC313}">
  <dimension ref="A1:D6"/>
  <sheetViews>
    <sheetView workbookViewId="0">
      <selection activeCell="D11" sqref="D11"/>
    </sheetView>
  </sheetViews>
  <sheetFormatPr defaultRowHeight="15"/>
  <sheetData>
    <row r="1" spans="1:4">
      <c r="A1" t="s">
        <v>19</v>
      </c>
      <c r="B1" t="s">
        <v>20</v>
      </c>
      <c r="C1" t="s">
        <v>21</v>
      </c>
      <c r="D1" t="s">
        <v>18</v>
      </c>
    </row>
    <row r="2" spans="1:4">
      <c r="A2" t="s">
        <v>22</v>
      </c>
      <c r="B2">
        <f>Janeiro!B4</f>
        <v>2340</v>
      </c>
      <c r="C2" s="1">
        <f>Janeiro!B13+Janeiro!B21</f>
        <v>2253.4100000000003</v>
      </c>
      <c r="D2" s="1">
        <f>Janeiro!B23</f>
        <v>86.589999999999691</v>
      </c>
    </row>
    <row r="3" spans="1:4">
      <c r="A3" t="s">
        <v>23</v>
      </c>
      <c r="B3">
        <f>Fevereiro!B4</f>
        <v>2811</v>
      </c>
      <c r="C3" s="1">
        <f>Fevereiro!B13+Fevereiro!B21</f>
        <v>2646.1000000000004</v>
      </c>
      <c r="D3" s="1">
        <f>Fevereiro!B23</f>
        <v>164.89999999999975</v>
      </c>
    </row>
    <row r="4" spans="1:4">
      <c r="A4" t="s">
        <v>24</v>
      </c>
      <c r="B4">
        <f>Março!B4</f>
        <v>2340</v>
      </c>
      <c r="C4" s="1">
        <f>Março!B13+Março!B21</f>
        <v>2323.2000000000003</v>
      </c>
      <c r="D4" s="1">
        <f>Março!B23</f>
        <v>16.799999999999727</v>
      </c>
    </row>
    <row r="5" spans="1:4">
      <c r="A5" t="s">
        <v>25</v>
      </c>
      <c r="B5">
        <f>Abril!B4</f>
        <v>2460</v>
      </c>
      <c r="C5" s="1">
        <f>Abril!B13+Abril!B21</f>
        <v>2083.5100000000002</v>
      </c>
      <c r="D5" s="1">
        <f>Abril!B23</f>
        <v>376.48999999999972</v>
      </c>
    </row>
    <row r="6" spans="1:4">
      <c r="A6" t="s">
        <v>26</v>
      </c>
      <c r="B6">
        <f>SUM(B2:B5)</f>
        <v>9951</v>
      </c>
      <c r="C6" s="1">
        <f>SUM(C2:C5)</f>
        <v>9306.2200000000012</v>
      </c>
      <c r="D6" s="1">
        <f>SUM(D2:D5)</f>
        <v>644.77999999999884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2026-04-10T00:55:55Z</dcterms:created>
  <dcterms:modified xsi:type="dcterms:W3CDTF">2026-04-13T12:08:56Z</dcterms:modified>
  <cp:category/>
  <cp:contentStatus/>
</cp:coreProperties>
</file>