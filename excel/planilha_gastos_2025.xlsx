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Janeiro" sheetId="2" state="visible" r:id="rId4"/>
    <sheet name="Fevereiro" sheetId="3" state="visible" r:id="rId5"/>
    <sheet name="Março" sheetId="4" state="visible" r:id="rId6"/>
    <sheet name="Abril" sheetId="5" state="visible" r:id="rId7"/>
    <sheet name="Dad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<sst xmlns="http://schemas.openxmlformats.org/spreadsheetml/2006/main" count="249" uniqueCount="43">
  <si>
    <t xml:space="preserve">Resumo Anual — Controle de Gastos 2025</t>
  </si>
  <si>
    <t xml:space="preserve">Mês</t>
  </si>
  <si>
    <t xml:space="preserve">Receita</t>
  </si>
  <si>
    <t xml:space="preserve">Total Gastos</t>
  </si>
  <si>
    <t xml:space="preserve">Saldo Final</t>
  </si>
  <si>
    <t xml:space="preserve">Meta Saldo</t>
  </si>
  <si>
    <t xml:space="preserve">Meta Batida?</t>
  </si>
  <si>
    <t xml:space="preserve">Janeiro</t>
  </si>
  <si>
    <t xml:space="preserve">Fevereiro</t>
  </si>
  <si>
    <t xml:space="preserve">Março</t>
  </si>
  <si>
    <t xml:space="preserve">Abril</t>
  </si>
  <si>
    <t xml:space="preserve">TOTAL</t>
  </si>
  <si>
    <t xml:space="preserve">Controle de Gastos — Janeiro 2025</t>
  </si>
  <si>
    <t xml:space="preserve">RECEITAS</t>
  </si>
  <si>
    <t xml:space="preserve">Valor (R$)</t>
  </si>
  <si>
    <t xml:space="preserve">Salário</t>
  </si>
  <si>
    <t xml:space="preserve">Comissão</t>
  </si>
  <si>
    <t xml:space="preserve">Total Receitas</t>
  </si>
  <si>
    <t xml:space="preserve">GASTOS FIXOS</t>
  </si>
  <si>
    <t xml:space="preserve">Aluguel</t>
  </si>
  <si>
    <t xml:space="preserve">Luz</t>
  </si>
  <si>
    <t xml:space="preserve">Internet</t>
  </si>
  <si>
    <t xml:space="preserve">4G</t>
  </si>
  <si>
    <t xml:space="preserve">Faculdade</t>
  </si>
  <si>
    <t xml:space="preserve">Alimentação</t>
  </si>
  <si>
    <t xml:space="preserve">Total Fixos</t>
  </si>
  <si>
    <t xml:space="preserve">Saldo após Fixos</t>
  </si>
  <si>
    <t xml:space="preserve">GASTOS VARIÁVEIS</t>
  </si>
  <si>
    <t xml:space="preserve">Crédito</t>
  </si>
  <si>
    <t xml:space="preserve">Lazer</t>
  </si>
  <si>
    <t xml:space="preserve">Investimentos</t>
  </si>
  <si>
    <t xml:space="preserve">Corte</t>
  </si>
  <si>
    <t xml:space="preserve">Imprevistos</t>
  </si>
  <si>
    <t xml:space="preserve">Total Variáveis</t>
  </si>
  <si>
    <t xml:space="preserve">SALDO FINAL</t>
  </si>
  <si>
    <t xml:space="preserve">Controle de Gastos — Fevereiro 2025</t>
  </si>
  <si>
    <t xml:space="preserve">Controle de Gastos — Março 2025</t>
  </si>
  <si>
    <t xml:space="preserve">Controle de Gastos — Abril 2025</t>
  </si>
  <si>
    <t xml:space="preserve">⚠ Não edite esta aba manualmente. Dados espelho das abas mensais para uso em análises.</t>
  </si>
  <si>
    <t xml:space="preserve">Categoria</t>
  </si>
  <si>
    <t xml:space="preserve">Tipo</t>
  </si>
  <si>
    <t xml:space="preserve">Fixo</t>
  </si>
  <si>
    <t xml:space="preserve">Variável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</si>
</sst>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AAC"/>
        <bgColor rgb="FF4472C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4472C4"/>
        <bgColor rgb="FF2E5AAC"/>
      </patternFill>
    </fill>
    <fill>
      <patternFill patternType="solid">
        <fgColor rgb="FFD6E4F7"/>
        <bgColor rgb="FFF2F2F2"/>
      </patternFill>
    </fill>
    <fill>
      <patternFill patternType="solid">
        <fgColor rgb="FFFFF9C4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C4"/>
      <rgbColor rgb="FFF2F2F2"/>
      <rgbColor rgb="FF660066"/>
      <rgbColor rgb="FFFF8080"/>
      <rgbColor rgb="FF2E5AA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6"/>
    <col collapsed="false" customWidth="true" hidden="false" outlineLevel="0" max="6" min="5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8" hidden="false" customHeight="true" outlineLevel="0" collapsed="false">
      <c r="A3" s="3" t="s">
        <v>7</v>
      </c>
      <c r="B3" s="4" t="n">
        <f aca="false">Janeiro!B5</f>
        <v>2660</v>
      </c>
      <c r="C3" s="4" t="n">
        <f aca="false">Janeiro!B14+Janeiro!B24</f>
        <v>2283.41</v>
      </c>
      <c r="D3" s="4" t="n">
        <f aca="false">Janeiro!B26</f>
        <v>376.59</v>
      </c>
      <c r="E3" s="4" t="n">
        <v>200</v>
      </c>
      <c r="F3" s="5" t="str">
        <f aca="false">IF(D3&gt;=E3,"✅ Sim","❌ Não")</f>
        <v>✅ Sim</v>
      </c>
    </row>
    <row r="4" customFormat="false" ht="18" hidden="false" customHeight="true" outlineLevel="0" collapsed="false">
      <c r="A4" s="6" t="s">
        <v>8</v>
      </c>
      <c r="B4" s="7" t="n">
        <f aca="false">Fevereiro!B5</f>
        <v>2962</v>
      </c>
      <c r="C4" s="7" t="n">
        <f aca="false">Fevereiro!B14+Fevereiro!B24</f>
        <v>2766.1</v>
      </c>
      <c r="D4" s="7" t="n">
        <f aca="false">Fevereiro!B26</f>
        <v>195.9</v>
      </c>
      <c r="E4" s="7" t="n">
        <v>200</v>
      </c>
      <c r="F4" s="8" t="str">
        <f aca="false">IF(D4&gt;=E4,"✅ Sim","❌ Não")</f>
        <v>❌ Não</v>
      </c>
    </row>
    <row r="5" customFormat="false" ht="18" hidden="false" customHeight="true" outlineLevel="0" collapsed="false">
      <c r="A5" s="3" t="s">
        <v>9</v>
      </c>
      <c r="B5" s="4" t="n">
        <f aca="false">Março!B5</f>
        <v>2340</v>
      </c>
      <c r="C5" s="4" t="n">
        <f aca="false">Março!B14+Março!B24</f>
        <v>2323.2</v>
      </c>
      <c r="D5" s="4" t="n">
        <f aca="false">Março!B26</f>
        <v>16.8</v>
      </c>
      <c r="E5" s="4" t="n">
        <v>200</v>
      </c>
      <c r="F5" s="5" t="str">
        <f aca="false">IF(D5&gt;=E5,"✅ Sim","❌ Não")</f>
        <v>❌ Não</v>
      </c>
    </row>
    <row r="6" customFormat="false" ht="18" hidden="false" customHeight="true" outlineLevel="0" collapsed="false">
      <c r="A6" s="6" t="s">
        <v>10</v>
      </c>
      <c r="B6" s="7" t="n">
        <f aca="false">Abril!B5</f>
        <v>2460</v>
      </c>
      <c r="C6" s="7" t="n">
        <f aca="false">Abril!B14+Abril!B24</f>
        <v>2260.51</v>
      </c>
      <c r="D6" s="7" t="n">
        <f aca="false">Abril!B26</f>
        <v>199.49</v>
      </c>
      <c r="E6" s="7" t="n">
        <v>200</v>
      </c>
      <c r="F6" s="8" t="str">
        <f aca="false">IF(D6&gt;=E6,"✅ Sim","❌ Não")</f>
        <v>❌ Não</v>
      </c>
    </row>
    <row r="7" customFormat="false" ht="19.5" hidden="false" customHeight="true" outlineLevel="0" collapsed="false">
      <c r="A7" s="9" t="s">
        <v>11</v>
      </c>
      <c r="B7" s="10" t="n">
        <f aca="false">SUM(B3:B6)</f>
        <v>10422</v>
      </c>
      <c r="C7" s="10" t="n">
        <f aca="false">SUM(C3:C6)</f>
        <v>9633.22</v>
      </c>
      <c r="D7" s="10" t="n">
        <f aca="false">SUM(D3:D6)</f>
        <v>788.78</v>
      </c>
      <c r="E7" s="11"/>
      <c r="F7" s="11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12</v>
      </c>
      <c r="B1" s="1"/>
    </row>
    <row r="2" customFormat="false" ht="21.75" hidden="false" customHeight="true" outlineLevel="0" collapsed="false">
      <c r="A2" s="2" t="s">
        <v>13</v>
      </c>
      <c r="B2" s="2" t="s">
        <v>14</v>
      </c>
    </row>
    <row r="3" customFormat="false" ht="18" hidden="false" customHeight="true" outlineLevel="0" collapsed="false">
      <c r="A3" s="3" t="s">
        <v>15</v>
      </c>
      <c r="B3" s="4" t="n">
        <v>2160</v>
      </c>
    </row>
    <row r="4" customFormat="false" ht="18" hidden="false" customHeight="true" outlineLevel="0" collapsed="false">
      <c r="A4" s="6" t="s">
        <v>16</v>
      </c>
      <c r="B4" s="7" t="n">
        <v>500</v>
      </c>
    </row>
    <row r="5" customFormat="false" ht="18" hidden="false" customHeight="true" outlineLevel="0" collapsed="false">
      <c r="A5" s="12" t="s">
        <v>17</v>
      </c>
      <c r="B5" s="13" t="n">
        <f aca="false">SUM(B3:B4)</f>
        <v>2660</v>
      </c>
    </row>
    <row r="6" customFormat="false" ht="18" hidden="false" customHeight="true" outlineLevel="0" collapsed="false"/>
    <row r="7" customFormat="false" ht="21.75" hidden="false" customHeight="true" outlineLevel="0" collapsed="false">
      <c r="A7" s="2" t="s">
        <v>18</v>
      </c>
      <c r="B7" s="2" t="s">
        <v>14</v>
      </c>
    </row>
    <row r="8" customFormat="false" ht="18" hidden="false" customHeight="true" outlineLevel="0" collapsed="false">
      <c r="A8" s="3" t="s">
        <v>19</v>
      </c>
      <c r="B8" s="4" t="n">
        <v>880</v>
      </c>
    </row>
    <row r="9" customFormat="false" ht="18" hidden="false" customHeight="true" outlineLevel="0" collapsed="false">
      <c r="A9" s="6" t="s">
        <v>20</v>
      </c>
      <c r="B9" s="7" t="n">
        <v>90</v>
      </c>
    </row>
    <row r="10" customFormat="false" ht="18" hidden="false" customHeight="true" outlineLevel="0" collapsed="false">
      <c r="A10" s="3" t="s">
        <v>21</v>
      </c>
      <c r="B10" s="4" t="n">
        <v>59.9</v>
      </c>
    </row>
    <row r="11" customFormat="false" ht="18" hidden="false" customHeight="true" outlineLevel="0" collapsed="false">
      <c r="A11" s="6" t="s">
        <v>22</v>
      </c>
      <c r="B11" s="7" t="n">
        <v>81.9</v>
      </c>
    </row>
    <row r="12" customFormat="false" ht="18" hidden="false" customHeight="true" outlineLevel="0" collapsed="false">
      <c r="A12" s="3" t="s">
        <v>23</v>
      </c>
      <c r="B12" s="4" t="n">
        <v>157.9</v>
      </c>
    </row>
    <row r="13" customFormat="false" ht="18" hidden="false" customHeight="true" outlineLevel="0" collapsed="false">
      <c r="A13" s="6" t="s">
        <v>24</v>
      </c>
      <c r="B13" s="7" t="n">
        <v>500</v>
      </c>
    </row>
    <row r="14" customFormat="false" ht="18" hidden="false" customHeight="true" outlineLevel="0" collapsed="false">
      <c r="A14" s="12" t="s">
        <v>25</v>
      </c>
      <c r="B14" s="13" t="n">
        <f aca="false">SUM(B8:B13)</f>
        <v>1769.7</v>
      </c>
    </row>
    <row r="15" customFormat="false" ht="18" hidden="false" customHeight="true" outlineLevel="0" collapsed="false"/>
    <row r="16" customFormat="false" ht="18" hidden="false" customHeight="true" outlineLevel="0" collapsed="false">
      <c r="A16" s="14" t="s">
        <v>26</v>
      </c>
      <c r="B16" s="15" t="n">
        <f aca="false">B5-B14</f>
        <v>890.3</v>
      </c>
    </row>
    <row r="17" customFormat="false" ht="18" hidden="false" customHeight="true" outlineLevel="0" collapsed="false"/>
    <row r="18" customFormat="false" ht="21.75" hidden="false" customHeight="true" outlineLevel="0" collapsed="false">
      <c r="A18" s="2" t="s">
        <v>27</v>
      </c>
      <c r="B18" s="2" t="s">
        <v>14</v>
      </c>
    </row>
    <row r="19" customFormat="false" ht="18" hidden="false" customHeight="true" outlineLevel="0" collapsed="false">
      <c r="A19" s="3" t="s">
        <v>28</v>
      </c>
      <c r="B19" s="4" t="n">
        <v>200.71</v>
      </c>
    </row>
    <row r="20" customFormat="false" ht="18" hidden="false" customHeight="true" outlineLevel="0" collapsed="false">
      <c r="A20" s="6" t="s">
        <v>29</v>
      </c>
      <c r="B20" s="7" t="n">
        <v>100</v>
      </c>
    </row>
    <row r="21" customFormat="false" ht="18" hidden="false" customHeight="true" outlineLevel="0" collapsed="false">
      <c r="A21" s="3" t="s">
        <v>30</v>
      </c>
      <c r="B21" s="4" t="n">
        <v>183</v>
      </c>
    </row>
    <row r="22" customFormat="false" ht="18" hidden="false" customHeight="true" outlineLevel="0" collapsed="false">
      <c r="A22" s="6" t="s">
        <v>31</v>
      </c>
      <c r="B22" s="7" t="n">
        <v>30</v>
      </c>
    </row>
    <row r="23" customFormat="false" ht="18" hidden="false" customHeight="true" outlineLevel="0" collapsed="false">
      <c r="A23" s="3" t="s">
        <v>32</v>
      </c>
      <c r="B23" s="4" t="n">
        <v>0</v>
      </c>
    </row>
    <row r="24" customFormat="false" ht="18" hidden="false" customHeight="true" outlineLevel="0" collapsed="false">
      <c r="A24" s="12" t="s">
        <v>33</v>
      </c>
      <c r="B24" s="13" t="n">
        <f aca="false">SUM(B19:B23)</f>
        <v>513.71</v>
      </c>
    </row>
    <row r="25" customFormat="false" ht="18" hidden="false" customHeight="true" outlineLevel="0" collapsed="false"/>
    <row r="26" customFormat="false" ht="18" hidden="false" customHeight="true" outlineLevel="0" collapsed="false">
      <c r="A26" s="16" t="s">
        <v>34</v>
      </c>
      <c r="B26" s="17" t="n">
        <f aca="false">B5-B14-B24</f>
        <v>376.59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35</v>
      </c>
      <c r="B1" s="1"/>
    </row>
    <row r="2" customFormat="false" ht="21.75" hidden="false" customHeight="true" outlineLevel="0" collapsed="false">
      <c r="A2" s="2" t="s">
        <v>13</v>
      </c>
      <c r="B2" s="2" t="s">
        <v>14</v>
      </c>
    </row>
    <row r="3" customFormat="false" ht="18" hidden="false" customHeight="true" outlineLevel="0" collapsed="false">
      <c r="A3" s="3" t="s">
        <v>15</v>
      </c>
      <c r="B3" s="4" t="n">
        <v>2462</v>
      </c>
    </row>
    <row r="4" customFormat="false" ht="18" hidden="false" customHeight="true" outlineLevel="0" collapsed="false">
      <c r="A4" s="6" t="s">
        <v>16</v>
      </c>
      <c r="B4" s="7" t="n">
        <v>500</v>
      </c>
    </row>
    <row r="5" customFormat="false" ht="18" hidden="false" customHeight="true" outlineLevel="0" collapsed="false">
      <c r="A5" s="12" t="s">
        <v>17</v>
      </c>
      <c r="B5" s="13" t="n">
        <f aca="false">SUM(B3:B4)</f>
        <v>2962</v>
      </c>
    </row>
    <row r="6" customFormat="false" ht="18" hidden="false" customHeight="true" outlineLevel="0" collapsed="false"/>
    <row r="7" customFormat="false" ht="21.75" hidden="false" customHeight="true" outlineLevel="0" collapsed="false">
      <c r="A7" s="2" t="s">
        <v>18</v>
      </c>
      <c r="B7" s="2" t="s">
        <v>14</v>
      </c>
    </row>
    <row r="8" customFormat="false" ht="18" hidden="false" customHeight="true" outlineLevel="0" collapsed="false">
      <c r="A8" s="3" t="s">
        <v>19</v>
      </c>
      <c r="B8" s="4" t="n">
        <v>880</v>
      </c>
    </row>
    <row r="9" customFormat="false" ht="18" hidden="false" customHeight="true" outlineLevel="0" collapsed="false">
      <c r="A9" s="6" t="s">
        <v>20</v>
      </c>
      <c r="B9" s="7" t="n">
        <v>90</v>
      </c>
    </row>
    <row r="10" customFormat="false" ht="18" hidden="false" customHeight="true" outlineLevel="0" collapsed="false">
      <c r="A10" s="3" t="s">
        <v>21</v>
      </c>
      <c r="B10" s="4" t="n">
        <v>59.9</v>
      </c>
    </row>
    <row r="11" customFormat="false" ht="18" hidden="false" customHeight="true" outlineLevel="0" collapsed="false">
      <c r="A11" s="6" t="s">
        <v>22</v>
      </c>
      <c r="B11" s="7" t="n">
        <v>81.9</v>
      </c>
    </row>
    <row r="12" customFormat="false" ht="18" hidden="false" customHeight="true" outlineLevel="0" collapsed="false">
      <c r="A12" s="3" t="s">
        <v>23</v>
      </c>
      <c r="B12" s="4" t="n">
        <v>157.9</v>
      </c>
    </row>
    <row r="13" customFormat="false" ht="18" hidden="false" customHeight="true" outlineLevel="0" collapsed="false">
      <c r="A13" s="6" t="s">
        <v>24</v>
      </c>
      <c r="B13" s="7" t="n">
        <v>500</v>
      </c>
    </row>
    <row r="14" customFormat="false" ht="18" hidden="false" customHeight="true" outlineLevel="0" collapsed="false">
      <c r="A14" s="12" t="s">
        <v>25</v>
      </c>
      <c r="B14" s="13" t="n">
        <f aca="false">SUM(B8:B13)</f>
        <v>1769.7</v>
      </c>
    </row>
    <row r="15" customFormat="false" ht="18" hidden="false" customHeight="true" outlineLevel="0" collapsed="false"/>
    <row r="16" customFormat="false" ht="18" hidden="false" customHeight="true" outlineLevel="0" collapsed="false">
      <c r="A16" s="14" t="s">
        <v>26</v>
      </c>
      <c r="B16" s="15" t="n">
        <f aca="false">B5-B14</f>
        <v>1192.3</v>
      </c>
    </row>
    <row r="17" customFormat="false" ht="18" hidden="false" customHeight="true" outlineLevel="0" collapsed="false"/>
    <row r="18" customFormat="false" ht="21.75" hidden="false" customHeight="true" outlineLevel="0" collapsed="false">
      <c r="A18" s="2" t="s">
        <v>27</v>
      </c>
      <c r="B18" s="2" t="s">
        <v>14</v>
      </c>
    </row>
    <row r="19" customFormat="false" ht="18" hidden="false" customHeight="true" outlineLevel="0" collapsed="false">
      <c r="A19" s="3" t="s">
        <v>28</v>
      </c>
      <c r="B19" s="4" t="n">
        <v>369.75</v>
      </c>
    </row>
    <row r="20" customFormat="false" ht="18" hidden="false" customHeight="true" outlineLevel="0" collapsed="false">
      <c r="A20" s="6" t="s">
        <v>29</v>
      </c>
      <c r="B20" s="7" t="n">
        <v>300</v>
      </c>
    </row>
    <row r="21" customFormat="false" ht="18" hidden="false" customHeight="true" outlineLevel="0" collapsed="false">
      <c r="A21" s="3" t="s">
        <v>30</v>
      </c>
      <c r="B21" s="4" t="n">
        <v>206.65</v>
      </c>
    </row>
    <row r="22" customFormat="false" ht="18" hidden="false" customHeight="true" outlineLevel="0" collapsed="false">
      <c r="A22" s="6" t="s">
        <v>31</v>
      </c>
      <c r="B22" s="7" t="n">
        <v>0</v>
      </c>
    </row>
    <row r="23" customFormat="false" ht="18" hidden="false" customHeight="true" outlineLevel="0" collapsed="false">
      <c r="A23" s="3" t="s">
        <v>32</v>
      </c>
      <c r="B23" s="4" t="n">
        <v>120</v>
      </c>
    </row>
    <row r="24" customFormat="false" ht="18" hidden="false" customHeight="true" outlineLevel="0" collapsed="false">
      <c r="A24" s="12" t="s">
        <v>33</v>
      </c>
      <c r="B24" s="13" t="n">
        <f aca="false">SUM(B19:B23)</f>
        <v>996.4</v>
      </c>
    </row>
    <row r="25" customFormat="false" ht="18" hidden="false" customHeight="true" outlineLevel="0" collapsed="false"/>
    <row r="26" customFormat="false" ht="18" hidden="false" customHeight="true" outlineLevel="0" collapsed="false">
      <c r="A26" s="16" t="s">
        <v>34</v>
      </c>
      <c r="B26" s="17" t="n">
        <f aca="false">B5-B14-B24</f>
        <v>195.9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36</v>
      </c>
      <c r="B1" s="1"/>
    </row>
    <row r="2" customFormat="false" ht="21.75" hidden="false" customHeight="true" outlineLevel="0" collapsed="false">
      <c r="A2" s="2" t="s">
        <v>13</v>
      </c>
      <c r="B2" s="2" t="s">
        <v>14</v>
      </c>
    </row>
    <row r="3" customFormat="false" ht="18" hidden="false" customHeight="true" outlineLevel="0" collapsed="false">
      <c r="A3" s="3" t="s">
        <v>15</v>
      </c>
      <c r="B3" s="4" t="n">
        <v>1840</v>
      </c>
    </row>
    <row r="4" customFormat="false" ht="18" hidden="false" customHeight="true" outlineLevel="0" collapsed="false">
      <c r="A4" s="6" t="s">
        <v>16</v>
      </c>
      <c r="B4" s="7" t="n">
        <v>500</v>
      </c>
    </row>
    <row r="5" customFormat="false" ht="18" hidden="false" customHeight="true" outlineLevel="0" collapsed="false">
      <c r="A5" s="12" t="s">
        <v>17</v>
      </c>
      <c r="B5" s="13" t="n">
        <f aca="false">SUM(B3:B4)</f>
        <v>2340</v>
      </c>
    </row>
    <row r="6" customFormat="false" ht="18" hidden="false" customHeight="true" outlineLevel="0" collapsed="false"/>
    <row r="7" customFormat="false" ht="21.75" hidden="false" customHeight="true" outlineLevel="0" collapsed="false">
      <c r="A7" s="2" t="s">
        <v>18</v>
      </c>
      <c r="B7" s="2" t="s">
        <v>14</v>
      </c>
    </row>
    <row r="8" customFormat="false" ht="18" hidden="false" customHeight="true" outlineLevel="0" collapsed="false">
      <c r="A8" s="3" t="s">
        <v>19</v>
      </c>
      <c r="B8" s="4" t="n">
        <v>880</v>
      </c>
    </row>
    <row r="9" customFormat="false" ht="18" hidden="false" customHeight="true" outlineLevel="0" collapsed="false">
      <c r="A9" s="6" t="s">
        <v>20</v>
      </c>
      <c r="B9" s="7" t="n">
        <v>90</v>
      </c>
    </row>
    <row r="10" customFormat="false" ht="18" hidden="false" customHeight="true" outlineLevel="0" collapsed="false">
      <c r="A10" s="3" t="s">
        <v>21</v>
      </c>
      <c r="B10" s="4" t="n">
        <v>59.9</v>
      </c>
    </row>
    <row r="11" customFormat="false" ht="18" hidden="false" customHeight="true" outlineLevel="0" collapsed="false">
      <c r="A11" s="6" t="s">
        <v>22</v>
      </c>
      <c r="B11" s="7" t="n">
        <v>81.9</v>
      </c>
    </row>
    <row r="12" customFormat="false" ht="18" hidden="false" customHeight="true" outlineLevel="0" collapsed="false">
      <c r="A12" s="3" t="s">
        <v>23</v>
      </c>
      <c r="B12" s="4" t="n">
        <v>157.9</v>
      </c>
    </row>
    <row r="13" customFormat="false" ht="18" hidden="false" customHeight="true" outlineLevel="0" collapsed="false">
      <c r="A13" s="6" t="s">
        <v>24</v>
      </c>
      <c r="B13" s="7" t="n">
        <v>500</v>
      </c>
    </row>
    <row r="14" customFormat="false" ht="18" hidden="false" customHeight="true" outlineLevel="0" collapsed="false">
      <c r="A14" s="12" t="s">
        <v>25</v>
      </c>
      <c r="B14" s="13" t="n">
        <f aca="false">SUM(B8:B13)</f>
        <v>1769.7</v>
      </c>
    </row>
    <row r="15" customFormat="false" ht="18" hidden="false" customHeight="true" outlineLevel="0" collapsed="false"/>
    <row r="16" customFormat="false" ht="18" hidden="false" customHeight="true" outlineLevel="0" collapsed="false">
      <c r="A16" s="14" t="s">
        <v>26</v>
      </c>
      <c r="B16" s="15" t="n">
        <f aca="false">B5-B14</f>
        <v>570.3</v>
      </c>
    </row>
    <row r="17" customFormat="false" ht="18" hidden="false" customHeight="true" outlineLevel="0" collapsed="false"/>
    <row r="18" customFormat="false" ht="21.75" hidden="false" customHeight="true" outlineLevel="0" collapsed="false">
      <c r="A18" s="2" t="s">
        <v>27</v>
      </c>
      <c r="B18" s="2" t="s">
        <v>14</v>
      </c>
    </row>
    <row r="19" customFormat="false" ht="18" hidden="false" customHeight="true" outlineLevel="0" collapsed="false">
      <c r="A19" s="3" t="s">
        <v>28</v>
      </c>
      <c r="B19" s="4" t="n">
        <v>203.5</v>
      </c>
    </row>
    <row r="20" customFormat="false" ht="18" hidden="false" customHeight="true" outlineLevel="0" collapsed="false">
      <c r="A20" s="6" t="s">
        <v>29</v>
      </c>
      <c r="B20" s="7" t="n">
        <v>250</v>
      </c>
    </row>
    <row r="21" customFormat="false" ht="18" hidden="false" customHeight="true" outlineLevel="0" collapsed="false">
      <c r="A21" s="3" t="s">
        <v>30</v>
      </c>
      <c r="B21" s="4" t="n">
        <v>100</v>
      </c>
    </row>
    <row r="22" customFormat="false" ht="18" hidden="false" customHeight="true" outlineLevel="0" collapsed="false">
      <c r="A22" s="6" t="s">
        <v>31</v>
      </c>
      <c r="B22" s="7" t="n">
        <v>0</v>
      </c>
    </row>
    <row r="23" customFormat="false" ht="18" hidden="false" customHeight="true" outlineLevel="0" collapsed="false">
      <c r="A23" s="3" t="s">
        <v>32</v>
      </c>
      <c r="B23" s="4" t="n">
        <v>0</v>
      </c>
    </row>
    <row r="24" customFormat="false" ht="18" hidden="false" customHeight="true" outlineLevel="0" collapsed="false">
      <c r="A24" s="12" t="s">
        <v>33</v>
      </c>
      <c r="B24" s="13" t="n">
        <f aca="false">SUM(B19:B23)</f>
        <v>553.5</v>
      </c>
    </row>
    <row r="25" customFormat="false" ht="18" hidden="false" customHeight="true" outlineLevel="0" collapsed="false"/>
    <row r="26" customFormat="false" ht="18" hidden="false" customHeight="true" outlineLevel="0" collapsed="false">
      <c r="A26" s="16" t="s">
        <v>34</v>
      </c>
      <c r="B26" s="17" t="n">
        <f aca="false">B5-B14-B24</f>
        <v>16.8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37</v>
      </c>
      <c r="B1" s="1"/>
    </row>
    <row r="2" customFormat="false" ht="21.75" hidden="false" customHeight="true" outlineLevel="0" collapsed="false">
      <c r="A2" s="2" t="s">
        <v>13</v>
      </c>
      <c r="B2" s="2" t="s">
        <v>14</v>
      </c>
    </row>
    <row r="3" customFormat="false" ht="18" hidden="false" customHeight="true" outlineLevel="0" collapsed="false">
      <c r="A3" s="3" t="s">
        <v>15</v>
      </c>
      <c r="B3" s="4" t="n">
        <v>1960</v>
      </c>
    </row>
    <row r="4" customFormat="false" ht="18" hidden="false" customHeight="true" outlineLevel="0" collapsed="false">
      <c r="A4" s="6" t="s">
        <v>16</v>
      </c>
      <c r="B4" s="7" t="n">
        <v>500</v>
      </c>
    </row>
    <row r="5" customFormat="false" ht="18" hidden="false" customHeight="true" outlineLevel="0" collapsed="false">
      <c r="A5" s="12" t="s">
        <v>17</v>
      </c>
      <c r="B5" s="13" t="n">
        <f aca="false">SUM(B3:B4)</f>
        <v>2460</v>
      </c>
    </row>
    <row r="6" customFormat="false" ht="18" hidden="false" customHeight="true" outlineLevel="0" collapsed="false"/>
    <row r="7" customFormat="false" ht="21.75" hidden="false" customHeight="true" outlineLevel="0" collapsed="false">
      <c r="A7" s="2" t="s">
        <v>18</v>
      </c>
      <c r="B7" s="2" t="s">
        <v>14</v>
      </c>
    </row>
    <row r="8" customFormat="false" ht="18" hidden="false" customHeight="true" outlineLevel="0" collapsed="false">
      <c r="A8" s="3" t="s">
        <v>19</v>
      </c>
      <c r="B8" s="4" t="n">
        <v>880</v>
      </c>
    </row>
    <row r="9" customFormat="false" ht="18" hidden="false" customHeight="true" outlineLevel="0" collapsed="false">
      <c r="A9" s="6" t="s">
        <v>20</v>
      </c>
      <c r="B9" s="7" t="n">
        <v>90</v>
      </c>
    </row>
    <row r="10" customFormat="false" ht="18" hidden="false" customHeight="true" outlineLevel="0" collapsed="false">
      <c r="A10" s="3" t="s">
        <v>21</v>
      </c>
      <c r="B10" s="4" t="n">
        <v>59.9</v>
      </c>
    </row>
    <row r="11" customFormat="false" ht="18" hidden="false" customHeight="true" outlineLevel="0" collapsed="false">
      <c r="A11" s="6" t="s">
        <v>22</v>
      </c>
      <c r="B11" s="7" t="n">
        <v>81.9</v>
      </c>
    </row>
    <row r="12" customFormat="false" ht="18" hidden="false" customHeight="true" outlineLevel="0" collapsed="false">
      <c r="A12" s="3" t="s">
        <v>23</v>
      </c>
      <c r="B12" s="4" t="n">
        <v>157.9</v>
      </c>
    </row>
    <row r="13" customFormat="false" ht="18" hidden="false" customHeight="true" outlineLevel="0" collapsed="false">
      <c r="A13" s="6" t="s">
        <v>24</v>
      </c>
      <c r="B13" s="7" t="n">
        <v>500</v>
      </c>
    </row>
    <row r="14" customFormat="false" ht="18" hidden="false" customHeight="true" outlineLevel="0" collapsed="false">
      <c r="A14" s="12" t="s">
        <v>25</v>
      </c>
      <c r="B14" s="13" t="n">
        <f aca="false">SUM(B8:B13)</f>
        <v>1769.7</v>
      </c>
    </row>
    <row r="15" customFormat="false" ht="18" hidden="false" customHeight="true" outlineLevel="0" collapsed="false"/>
    <row r="16" customFormat="false" ht="18" hidden="false" customHeight="true" outlineLevel="0" collapsed="false">
      <c r="A16" s="14" t="s">
        <v>26</v>
      </c>
      <c r="B16" s="15" t="n">
        <f aca="false">B5-B14</f>
        <v>690.3</v>
      </c>
    </row>
    <row r="17" customFormat="false" ht="18" hidden="false" customHeight="true" outlineLevel="0" collapsed="false"/>
    <row r="18" customFormat="false" ht="21.75" hidden="false" customHeight="true" outlineLevel="0" collapsed="false">
      <c r="A18" s="2" t="s">
        <v>27</v>
      </c>
      <c r="B18" s="2" t="s">
        <v>14</v>
      </c>
    </row>
    <row r="19" customFormat="false" ht="18" hidden="false" customHeight="true" outlineLevel="0" collapsed="false">
      <c r="A19" s="3" t="s">
        <v>28</v>
      </c>
      <c r="B19" s="4" t="n">
        <v>213.81</v>
      </c>
    </row>
    <row r="20" customFormat="false" ht="18" hidden="false" customHeight="true" outlineLevel="0" collapsed="false">
      <c r="A20" s="6" t="s">
        <v>29</v>
      </c>
      <c r="B20" s="7" t="n">
        <v>247</v>
      </c>
    </row>
    <row r="21" customFormat="false" ht="18" hidden="false" customHeight="true" outlineLevel="0" collapsed="false">
      <c r="A21" s="3" t="s">
        <v>30</v>
      </c>
      <c r="B21" s="4" t="n">
        <v>0</v>
      </c>
    </row>
    <row r="22" customFormat="false" ht="18" hidden="false" customHeight="true" outlineLevel="0" collapsed="false">
      <c r="A22" s="6" t="s">
        <v>31</v>
      </c>
      <c r="B22" s="7" t="n">
        <v>30</v>
      </c>
    </row>
    <row r="23" customFormat="false" ht="18" hidden="false" customHeight="true" outlineLevel="0" collapsed="false">
      <c r="A23" s="3" t="s">
        <v>32</v>
      </c>
      <c r="B23" s="4" t="n">
        <v>0</v>
      </c>
    </row>
    <row r="24" customFormat="false" ht="18" hidden="false" customHeight="true" outlineLevel="0" collapsed="false">
      <c r="A24" s="12" t="s">
        <v>33</v>
      </c>
      <c r="B24" s="13" t="n">
        <f aca="false">SUM(B19:B23)</f>
        <v>490.81</v>
      </c>
    </row>
    <row r="25" customFormat="false" ht="18" hidden="false" customHeight="true" outlineLevel="0" collapsed="false"/>
    <row r="26" customFormat="false" ht="18" hidden="false" customHeight="true" outlineLevel="0" collapsed="false">
      <c r="A26" s="16" t="s">
        <v>34</v>
      </c>
      <c r="B26" s="17" t="n">
        <f aca="false">B5-B14-B24</f>
        <v>199.49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21.75" hidden="false" customHeight="true" outlineLevel="0" collapsed="false">
      <c r="A1" s="18" t="s">
        <v>38</v>
      </c>
      <c r="B1" s="18"/>
      <c r="C1" s="18"/>
      <c r="D1" s="18"/>
    </row>
    <row r="2" customFormat="false" ht="15" hidden="false" customHeight="false" outlineLevel="0" collapsed="false">
      <c r="A2" s="2" t="s">
        <v>1</v>
      </c>
      <c r="B2" s="2" t="s">
        <v>39</v>
      </c>
      <c r="C2" s="2" t="s">
        <v>40</v>
      </c>
      <c r="D2" s="2" t="s">
        <v>14</v>
      </c>
    </row>
    <row r="3" customFormat="false" ht="18" hidden="false" customHeight="true" outlineLevel="0" collapsed="false">
      <c r="A3" s="3" t="s">
        <v>7</v>
      </c>
      <c r="B3" s="3" t="s">
        <v>19</v>
      </c>
      <c r="C3" s="19" t="s">
        <v>41</v>
      </c>
      <c r="D3" s="4" t="n">
        <v>880</v>
      </c>
    </row>
    <row r="4" customFormat="false" ht="18" hidden="false" customHeight="true" outlineLevel="0" collapsed="false">
      <c r="A4" s="6" t="s">
        <v>7</v>
      </c>
      <c r="B4" s="6" t="s">
        <v>20</v>
      </c>
      <c r="C4" s="20" t="s">
        <v>41</v>
      </c>
      <c r="D4" s="7" t="n">
        <v>90</v>
      </c>
    </row>
    <row r="5" customFormat="false" ht="18" hidden="false" customHeight="true" outlineLevel="0" collapsed="false">
      <c r="A5" s="3" t="s">
        <v>7</v>
      </c>
      <c r="B5" s="3" t="s">
        <v>21</v>
      </c>
      <c r="C5" s="19" t="s">
        <v>41</v>
      </c>
      <c r="D5" s="4" t="n">
        <v>59.9</v>
      </c>
    </row>
    <row r="6" customFormat="false" ht="18" hidden="false" customHeight="true" outlineLevel="0" collapsed="false">
      <c r="A6" s="6" t="s">
        <v>7</v>
      </c>
      <c r="B6" s="6" t="s">
        <v>22</v>
      </c>
      <c r="C6" s="20" t="s">
        <v>41</v>
      </c>
      <c r="D6" s="7" t="n">
        <v>81.9</v>
      </c>
    </row>
    <row r="7" customFormat="false" ht="18" hidden="false" customHeight="true" outlineLevel="0" collapsed="false">
      <c r="A7" s="3" t="s">
        <v>7</v>
      </c>
      <c r="B7" s="3" t="s">
        <v>23</v>
      </c>
      <c r="C7" s="19" t="s">
        <v>41</v>
      </c>
      <c r="D7" s="4" t="n">
        <v>157.9</v>
      </c>
    </row>
    <row r="8" customFormat="false" ht="18" hidden="false" customHeight="true" outlineLevel="0" collapsed="false">
      <c r="A8" s="6" t="s">
        <v>7</v>
      </c>
      <c r="B8" s="6" t="s">
        <v>24</v>
      </c>
      <c r="C8" s="20" t="s">
        <v>41</v>
      </c>
      <c r="D8" s="7" t="n">
        <v>500</v>
      </c>
    </row>
    <row r="9" customFormat="false" ht="18" hidden="false" customHeight="true" outlineLevel="0" collapsed="false">
      <c r="A9" s="3" t="s">
        <v>7</v>
      </c>
      <c r="B9" s="3" t="s">
        <v>28</v>
      </c>
      <c r="C9" s="19" t="s">
        <v>42</v>
      </c>
      <c r="D9" s="4" t="n">
        <v>200.71</v>
      </c>
    </row>
    <row r="10" customFormat="false" ht="18" hidden="false" customHeight="true" outlineLevel="0" collapsed="false">
      <c r="A10" s="6" t="s">
        <v>7</v>
      </c>
      <c r="B10" s="6" t="s">
        <v>29</v>
      </c>
      <c r="C10" s="20" t="s">
        <v>42</v>
      </c>
      <c r="D10" s="7" t="n">
        <v>100</v>
      </c>
    </row>
    <row r="11" customFormat="false" ht="18" hidden="false" customHeight="true" outlineLevel="0" collapsed="false">
      <c r="A11" s="3" t="s">
        <v>7</v>
      </c>
      <c r="B11" s="3" t="s">
        <v>30</v>
      </c>
      <c r="C11" s="19" t="s">
        <v>42</v>
      </c>
      <c r="D11" s="4" t="n">
        <v>183</v>
      </c>
    </row>
    <row r="12" customFormat="false" ht="18" hidden="false" customHeight="true" outlineLevel="0" collapsed="false">
      <c r="A12" s="6" t="s">
        <v>7</v>
      </c>
      <c r="B12" s="6" t="s">
        <v>31</v>
      </c>
      <c r="C12" s="20" t="s">
        <v>42</v>
      </c>
      <c r="D12" s="7" t="n">
        <v>30</v>
      </c>
    </row>
    <row r="13" customFormat="false" ht="18" hidden="false" customHeight="true" outlineLevel="0" collapsed="false">
      <c r="A13" s="3" t="s">
        <v>7</v>
      </c>
      <c r="B13" s="3" t="s">
        <v>32</v>
      </c>
      <c r="C13" s="19" t="s">
        <v>42</v>
      </c>
      <c r="D13" s="4" t="n">
        <v>0</v>
      </c>
    </row>
    <row r="14" customFormat="false" ht="18" hidden="false" customHeight="true" outlineLevel="0" collapsed="false">
      <c r="A14" s="6" t="s">
        <v>8</v>
      </c>
      <c r="B14" s="6" t="s">
        <v>19</v>
      </c>
      <c r="C14" s="20" t="s">
        <v>41</v>
      </c>
      <c r="D14" s="7" t="n">
        <v>880</v>
      </c>
    </row>
    <row r="15" customFormat="false" ht="18" hidden="false" customHeight="true" outlineLevel="0" collapsed="false">
      <c r="A15" s="3" t="s">
        <v>8</v>
      </c>
      <c r="B15" s="3" t="s">
        <v>20</v>
      </c>
      <c r="C15" s="19" t="s">
        <v>41</v>
      </c>
      <c r="D15" s="4" t="n">
        <v>90</v>
      </c>
    </row>
    <row r="16" customFormat="false" ht="18" hidden="false" customHeight="true" outlineLevel="0" collapsed="false">
      <c r="A16" s="6" t="s">
        <v>8</v>
      </c>
      <c r="B16" s="6" t="s">
        <v>21</v>
      </c>
      <c r="C16" s="20" t="s">
        <v>41</v>
      </c>
      <c r="D16" s="7" t="n">
        <v>59.9</v>
      </c>
    </row>
    <row r="17" customFormat="false" ht="18" hidden="false" customHeight="true" outlineLevel="0" collapsed="false">
      <c r="A17" s="3" t="s">
        <v>8</v>
      </c>
      <c r="B17" s="3" t="s">
        <v>22</v>
      </c>
      <c r="C17" s="19" t="s">
        <v>41</v>
      </c>
      <c r="D17" s="4" t="n">
        <v>81.9</v>
      </c>
    </row>
    <row r="18" customFormat="false" ht="18" hidden="false" customHeight="true" outlineLevel="0" collapsed="false">
      <c r="A18" s="6" t="s">
        <v>8</v>
      </c>
      <c r="B18" s="6" t="s">
        <v>23</v>
      </c>
      <c r="C18" s="20" t="s">
        <v>41</v>
      </c>
      <c r="D18" s="7" t="n">
        <v>157.9</v>
      </c>
    </row>
    <row r="19" customFormat="false" ht="18" hidden="false" customHeight="true" outlineLevel="0" collapsed="false">
      <c r="A19" s="3" t="s">
        <v>8</v>
      </c>
      <c r="B19" s="3" t="s">
        <v>24</v>
      </c>
      <c r="C19" s="19" t="s">
        <v>41</v>
      </c>
      <c r="D19" s="4" t="n">
        <v>500</v>
      </c>
    </row>
    <row r="20" customFormat="false" ht="18" hidden="false" customHeight="true" outlineLevel="0" collapsed="false">
      <c r="A20" s="6" t="s">
        <v>8</v>
      </c>
      <c r="B20" s="6" t="s">
        <v>28</v>
      </c>
      <c r="C20" s="20" t="s">
        <v>42</v>
      </c>
      <c r="D20" s="7" t="n">
        <v>369.75</v>
      </c>
    </row>
    <row r="21" customFormat="false" ht="18" hidden="false" customHeight="true" outlineLevel="0" collapsed="false">
      <c r="A21" s="3" t="s">
        <v>8</v>
      </c>
      <c r="B21" s="3" t="s">
        <v>29</v>
      </c>
      <c r="C21" s="19" t="s">
        <v>42</v>
      </c>
      <c r="D21" s="4" t="n">
        <v>300</v>
      </c>
    </row>
    <row r="22" customFormat="false" ht="18" hidden="false" customHeight="true" outlineLevel="0" collapsed="false">
      <c r="A22" s="6" t="s">
        <v>8</v>
      </c>
      <c r="B22" s="6" t="s">
        <v>30</v>
      </c>
      <c r="C22" s="20" t="s">
        <v>42</v>
      </c>
      <c r="D22" s="7" t="n">
        <v>206.65</v>
      </c>
    </row>
    <row r="23" customFormat="false" ht="18" hidden="false" customHeight="true" outlineLevel="0" collapsed="false">
      <c r="A23" s="3" t="s">
        <v>8</v>
      </c>
      <c r="B23" s="3" t="s">
        <v>31</v>
      </c>
      <c r="C23" s="19" t="s">
        <v>42</v>
      </c>
      <c r="D23" s="4" t="n">
        <v>0</v>
      </c>
    </row>
    <row r="24" customFormat="false" ht="18" hidden="false" customHeight="true" outlineLevel="0" collapsed="false">
      <c r="A24" s="6" t="s">
        <v>8</v>
      </c>
      <c r="B24" s="6" t="s">
        <v>32</v>
      </c>
      <c r="C24" s="20" t="s">
        <v>42</v>
      </c>
      <c r="D24" s="7" t="n">
        <v>120</v>
      </c>
    </row>
    <row r="25" customFormat="false" ht="18" hidden="false" customHeight="true" outlineLevel="0" collapsed="false">
      <c r="A25" s="3" t="s">
        <v>9</v>
      </c>
      <c r="B25" s="3" t="s">
        <v>19</v>
      </c>
      <c r="C25" s="19" t="s">
        <v>41</v>
      </c>
      <c r="D25" s="4" t="n">
        <v>880</v>
      </c>
    </row>
    <row r="26" customFormat="false" ht="18" hidden="false" customHeight="true" outlineLevel="0" collapsed="false">
      <c r="A26" s="6" t="s">
        <v>9</v>
      </c>
      <c r="B26" s="6" t="s">
        <v>20</v>
      </c>
      <c r="C26" s="20" t="s">
        <v>41</v>
      </c>
      <c r="D26" s="7" t="n">
        <v>90</v>
      </c>
    </row>
    <row r="27" customFormat="false" ht="18" hidden="false" customHeight="true" outlineLevel="0" collapsed="false">
      <c r="A27" s="3" t="s">
        <v>9</v>
      </c>
      <c r="B27" s="3" t="s">
        <v>21</v>
      </c>
      <c r="C27" s="19" t="s">
        <v>41</v>
      </c>
      <c r="D27" s="4" t="n">
        <v>59.9</v>
      </c>
    </row>
    <row r="28" customFormat="false" ht="18" hidden="false" customHeight="true" outlineLevel="0" collapsed="false">
      <c r="A28" s="6" t="s">
        <v>9</v>
      </c>
      <c r="B28" s="6" t="s">
        <v>22</v>
      </c>
      <c r="C28" s="20" t="s">
        <v>41</v>
      </c>
      <c r="D28" s="7" t="n">
        <v>81.9</v>
      </c>
    </row>
    <row r="29" customFormat="false" ht="18" hidden="false" customHeight="true" outlineLevel="0" collapsed="false">
      <c r="A29" s="3" t="s">
        <v>9</v>
      </c>
      <c r="B29" s="3" t="s">
        <v>23</v>
      </c>
      <c r="C29" s="19" t="s">
        <v>41</v>
      </c>
      <c r="D29" s="4" t="n">
        <v>157.9</v>
      </c>
    </row>
    <row r="30" customFormat="false" ht="18" hidden="false" customHeight="true" outlineLevel="0" collapsed="false">
      <c r="A30" s="6" t="s">
        <v>9</v>
      </c>
      <c r="B30" s="6" t="s">
        <v>24</v>
      </c>
      <c r="C30" s="20" t="s">
        <v>41</v>
      </c>
      <c r="D30" s="7" t="n">
        <v>500</v>
      </c>
    </row>
    <row r="31" customFormat="false" ht="18" hidden="false" customHeight="true" outlineLevel="0" collapsed="false">
      <c r="A31" s="3" t="s">
        <v>9</v>
      </c>
      <c r="B31" s="3" t="s">
        <v>28</v>
      </c>
      <c r="C31" s="19" t="s">
        <v>42</v>
      </c>
      <c r="D31" s="4" t="n">
        <v>203.5</v>
      </c>
    </row>
    <row r="32" customFormat="false" ht="18" hidden="false" customHeight="true" outlineLevel="0" collapsed="false">
      <c r="A32" s="6" t="s">
        <v>9</v>
      </c>
      <c r="B32" s="6" t="s">
        <v>29</v>
      </c>
      <c r="C32" s="20" t="s">
        <v>42</v>
      </c>
      <c r="D32" s="7" t="n">
        <v>250</v>
      </c>
    </row>
    <row r="33" customFormat="false" ht="18" hidden="false" customHeight="true" outlineLevel="0" collapsed="false">
      <c r="A33" s="3" t="s">
        <v>9</v>
      </c>
      <c r="B33" s="3" t="s">
        <v>30</v>
      </c>
      <c r="C33" s="19" t="s">
        <v>42</v>
      </c>
      <c r="D33" s="4" t="n">
        <v>100</v>
      </c>
    </row>
    <row r="34" customFormat="false" ht="18" hidden="false" customHeight="true" outlineLevel="0" collapsed="false">
      <c r="A34" s="6" t="s">
        <v>9</v>
      </c>
      <c r="B34" s="6" t="s">
        <v>31</v>
      </c>
      <c r="C34" s="20" t="s">
        <v>42</v>
      </c>
      <c r="D34" s="7" t="n">
        <v>0</v>
      </c>
    </row>
    <row r="35" customFormat="false" ht="18" hidden="false" customHeight="true" outlineLevel="0" collapsed="false">
      <c r="A35" s="3" t="s">
        <v>9</v>
      </c>
      <c r="B35" s="3" t="s">
        <v>32</v>
      </c>
      <c r="C35" s="19" t="s">
        <v>42</v>
      </c>
      <c r="D35" s="4" t="n">
        <v>0</v>
      </c>
    </row>
    <row r="36" customFormat="false" ht="18" hidden="false" customHeight="true" outlineLevel="0" collapsed="false">
      <c r="A36" s="6" t="s">
        <v>10</v>
      </c>
      <c r="B36" s="6" t="s">
        <v>19</v>
      </c>
      <c r="C36" s="20" t="s">
        <v>41</v>
      </c>
      <c r="D36" s="7" t="n">
        <v>880</v>
      </c>
    </row>
    <row r="37" customFormat="false" ht="18" hidden="false" customHeight="true" outlineLevel="0" collapsed="false">
      <c r="A37" s="3" t="s">
        <v>10</v>
      </c>
      <c r="B37" s="3" t="s">
        <v>20</v>
      </c>
      <c r="C37" s="19" t="s">
        <v>41</v>
      </c>
      <c r="D37" s="4" t="n">
        <v>90</v>
      </c>
    </row>
    <row r="38" customFormat="false" ht="18" hidden="false" customHeight="true" outlineLevel="0" collapsed="false">
      <c r="A38" s="6" t="s">
        <v>10</v>
      </c>
      <c r="B38" s="6" t="s">
        <v>21</v>
      </c>
      <c r="C38" s="20" t="s">
        <v>41</v>
      </c>
      <c r="D38" s="7" t="n">
        <v>59.9</v>
      </c>
    </row>
    <row r="39" customFormat="false" ht="18" hidden="false" customHeight="true" outlineLevel="0" collapsed="false">
      <c r="A39" s="3" t="s">
        <v>10</v>
      </c>
      <c r="B39" s="3" t="s">
        <v>22</v>
      </c>
      <c r="C39" s="19" t="s">
        <v>41</v>
      </c>
      <c r="D39" s="4" t="n">
        <v>81.9</v>
      </c>
    </row>
    <row r="40" customFormat="false" ht="18" hidden="false" customHeight="true" outlineLevel="0" collapsed="false">
      <c r="A40" s="6" t="s">
        <v>10</v>
      </c>
      <c r="B40" s="6" t="s">
        <v>23</v>
      </c>
      <c r="C40" s="20" t="s">
        <v>41</v>
      </c>
      <c r="D40" s="7" t="n">
        <v>157.9</v>
      </c>
    </row>
    <row r="41" customFormat="false" ht="18" hidden="false" customHeight="true" outlineLevel="0" collapsed="false">
      <c r="A41" s="3" t="s">
        <v>10</v>
      </c>
      <c r="B41" s="3" t="s">
        <v>24</v>
      </c>
      <c r="C41" s="19" t="s">
        <v>41</v>
      </c>
      <c r="D41" s="4" t="n">
        <v>500</v>
      </c>
    </row>
    <row r="42" customFormat="false" ht="18" hidden="false" customHeight="true" outlineLevel="0" collapsed="false">
      <c r="A42" s="6" t="s">
        <v>10</v>
      </c>
      <c r="B42" s="6" t="s">
        <v>28</v>
      </c>
      <c r="C42" s="20" t="s">
        <v>42</v>
      </c>
      <c r="D42" s="7" t="n">
        <v>213.81</v>
      </c>
    </row>
    <row r="43" customFormat="false" ht="18" hidden="false" customHeight="true" outlineLevel="0" collapsed="false">
      <c r="A43" s="3" t="s">
        <v>10</v>
      </c>
      <c r="B43" s="3" t="s">
        <v>29</v>
      </c>
      <c r="C43" s="19" t="s">
        <v>42</v>
      </c>
      <c r="D43" s="4" t="n">
        <v>247</v>
      </c>
    </row>
    <row r="44" customFormat="false" ht="18" hidden="false" customHeight="true" outlineLevel="0" collapsed="false">
      <c r="A44" s="6" t="s">
        <v>10</v>
      </c>
      <c r="B44" s="6" t="s">
        <v>30</v>
      </c>
      <c r="C44" s="20" t="s">
        <v>42</v>
      </c>
      <c r="D44" s="7" t="n">
        <v>0</v>
      </c>
    </row>
    <row r="45" customFormat="false" ht="18" hidden="false" customHeight="true" outlineLevel="0" collapsed="false">
      <c r="A45" s="3" t="s">
        <v>10</v>
      </c>
      <c r="B45" s="3" t="s">
        <v>31</v>
      </c>
      <c r="C45" s="19" t="s">
        <v>42</v>
      </c>
      <c r="D45" s="4" t="n">
        <v>30</v>
      </c>
    </row>
    <row r="46" customFormat="false" ht="18" hidden="false" customHeight="true" outlineLevel="0" collapsed="false">
      <c r="A46" s="6" t="s">
        <v>10</v>
      </c>
      <c r="B46" s="6" t="s">
        <v>32</v>
      </c>
      <c r="C46" s="20" t="s">
        <v>42</v>
      </c>
      <c r="D46" s="7" t="n"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2026-04-14T15:46:59Z</dcterms:created>
  <dc:creator>openpyxl</dc:creator>
  <dc:description/>
  <dc:language>en-US</dc:language>
  <cp:lastModifiedBy/>
  <dcterms:modified xsi:type="dcterms:W3CDTF">2026-04-14T15:46:59Z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